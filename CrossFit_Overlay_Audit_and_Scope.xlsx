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Report" sheetId="1" state="visible" r:id="rId3"/>
    <sheet name="Feature Scope DE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<sst xmlns="http://schemas.openxmlformats.org/spreadsheetml/2006/main" count="355" uniqueCount="158">
  <si>
    <t xml:space="preserve">Feature</t>
  </si>
  <si>
    <t xml:space="preserve">Status</t>
  </si>
  <si>
    <t xml:space="preserve">Test method</t>
  </si>
  <si>
    <t xml:space="preserve">Result</t>
  </si>
  <si>
    <t xml:space="preserve">Limitations</t>
  </si>
  <si>
    <t xml:space="preserve">Remaining action</t>
  </si>
  <si>
    <t xml:space="preserve">Countdown, Stopwatch, Intervals, Start/Pause/Resume/Reset</t>
  </si>
  <si>
    <t xml:space="preserve">PASS — TESTED</t>
  </si>
  <si>
    <t xml:space="preserve">jsdom regression; Chromium (Playwright)</t>
  </si>
  <si>
    <t xml:space="preserve">All pass</t>
  </si>
  <si>
    <t xml:space="preserve">—</t>
  </si>
  <si>
    <t xml:space="preserve">Runden, Work/Rest-Wechsel, Time Cap</t>
  </si>
  <si>
    <t xml:space="preserve">jsdom, fixed time points</t>
  </si>
  <si>
    <t xml:space="preserve">Phasen/Runden korrekt, Ende erkannt</t>
  </si>
  <si>
    <t xml:space="preserve">Work/Rest-Panel zeigt Soll-Werte, keine Live-Hervorhebung</t>
  </si>
  <si>
    <t xml:space="preserve">Timer-Genauigkeit (monotone Uhr)</t>
  </si>
  <si>
    <t xml:space="preserve">Chromium (Playwright): 8 s Lauf, davon 8 s im Hintergrund-Tab; jsdom: Systemuhr-Sprung</t>
  </si>
  <si>
    <t xml:space="preserve">Abweichung &lt; 150 ms</t>
  </si>
  <si>
    <t xml:space="preserve">Nur 8-s-Läufe automatisiert; Langzeitlauf (10+ min) nicht gemessen</t>
  </si>
  <si>
    <t xml:space="preserve">Langzeittest in OBS</t>
  </si>
  <si>
    <t xml:space="preserve">Pre-Start-Countdown</t>
  </si>
  <si>
    <t xml:space="preserve">NOT IMPLEMENTED</t>
  </si>
  <si>
    <t xml:space="preserve">Nicht gebaut</t>
  </si>
  <si>
    <t xml:space="preserve">Optionale Erweiterung</t>
  </si>
  <si>
    <t xml:space="preserve">Zeitsequenz-Parser (2m + 30 + 1:00)</t>
  </si>
  <si>
    <t xml:space="preserve">jsdom: 9 Grenzfälle</t>
  </si>
  <si>
    <t xml:space="preserve">Gültige Formen ok; 0, 1:60, negativ, h:mm:ss, leere Segmente abgelehnt</t>
  </si>
  <si>
    <t xml:space="preserve">Wechselt nur Work/Rest ab</t>
  </si>
  <si>
    <t xml:space="preserve">Sound-Signal bei Ende</t>
  </si>
  <si>
    <t xml:space="preserve">IMPLEMENTED — NOT VERIFIED</t>
  </si>
  <si>
    <t xml:space="preserve">Code-Review</t>
  </si>
  <si>
    <t xml:space="preserve">Web Audio nicht automatisiert hörbar getestet</t>
  </si>
  <si>
    <t xml:space="preserve">Manuell anhören</t>
  </si>
  <si>
    <t xml:space="preserve">Tastaturkürzel (Leertaste, R)</t>
  </si>
  <si>
    <t xml:space="preserve">jsdom</t>
  </si>
  <si>
    <t xml:space="preserve">Pass</t>
  </si>
  <si>
    <t xml:space="preserve">Dashboard↔Overlay-Sync, gleiches Browserprofil</t>
  </si>
  <si>
    <t xml:space="preserve">Chromium (Playwright): zwei Seiten, BroadcastChannel; jsdom</t>
  </si>
  <si>
    <t xml:space="preserve">Start/Pause/Resume/Reset/Text/Theme/Sichtbarkeit/Szene</t>
  </si>
  <si>
    <t xml:space="preserve">Nicht für OBS-Browserquelle (anderes Profil)</t>
  </si>
  <si>
    <t xml:space="preserve">Sync über Server (OBS/Handy/Dashboard getrennte Umgebungen)</t>
  </si>
  <si>
    <t xml:space="preserve">Chromium (Playwright): 3 getrennte Browser-Kontexte, inkl. Mobil-Emulation; HTTP-403-Tests</t>
  </si>
  <si>
    <t xml:space="preserve">Start/Pause/Resume/Reset/Text/Theme/Sichtbarkeit; Overlay-Refresh stellt Zustand wieder her; Overlay-URL ohne Schlüssel kann nicht steuern</t>
  </si>
  <si>
    <t xml:space="preserve">Nur emuliert, kein echtes Smartphone/OBS; eine Sitzung; Schlüssel in URL; kein TLS im Server</t>
  </si>
  <si>
    <t xml:space="preserve">Test mit echtem Handy und HTTPS-Hosting</t>
  </si>
  <si>
    <t xml:space="preserve">Smartphone-/Tablet-Fernsteuerung</t>
  </si>
  <si>
    <t xml:space="preserve">PARTIALLY WORKING</t>
  </si>
  <si>
    <t xml:space="preserve">Chromium (Playwright) Mobil-Emulation 390×844</t>
  </si>
  <si>
    <t xml:space="preserve">Steuerung über Server-Sitzung funktioniert</t>
  </si>
  <si>
    <t xml:space="preserve">Server-Hosting nötig (Kosten); nicht auf echtem Gerät getestet</t>
  </si>
  <si>
    <t xml:space="preserve">Echtgerätetest, Hosting festlegen</t>
  </si>
  <si>
    <t xml:space="preserve">Transparente /overlay-Seite</t>
  </si>
  <si>
    <t xml:space="preserve">Chromium (Playwright): Computed Styles, Screenshot-Alpha=0 bei 1920×1080, 1600×900, 1280×720</t>
  </si>
  <si>
    <t xml:space="preserve">HTML/BODY transparent, kein Scrollbalken, keine Dashboard-Elemente</t>
  </si>
  <si>
    <t xml:space="preserve">Transparenz in OBS selbst nicht gesehen</t>
  </si>
  <si>
    <t xml:space="preserve">OBS-Test</t>
  </si>
  <si>
    <t xml:space="preserve">1920×1080 und 16:9-Skalierung, alle Zonen sichtbar</t>
  </si>
  <si>
    <t xml:space="preserve">Chromium (Playwright): Bounding-Boxes (Fehler gefunden: 124 px Versatz, behoben)</t>
  </si>
  <si>
    <t xml:space="preserve">Alle Zonen im Viewport bei 3 Auflösungen</t>
  </si>
  <si>
    <t xml:space="preserve">Responsives Dashboard (1920/1650/1440/1280/1024/768/390)</t>
  </si>
  <si>
    <t xml:space="preserve">Chromium (Playwright): Spaltenzahl, Überlauf, Vorschau, Timer-Zentrierung; Screenshots</t>
  </si>
  <si>
    <t xml:space="preserve">5 Spalten ab 1440, 3 bis 1024, 1 darunter; kein Überlauf</t>
  </si>
  <si>
    <t xml:space="preserve">Screenshots mit Ersatzschriften (Google Fonts offline)</t>
  </si>
  <si>
    <t xml:space="preserve">Sichtprüfung mit echten Schriften</t>
  </si>
  <si>
    <t xml:space="preserve">Logo-Upload PNG/SVG, Ersetzen, Entfernen, Persistenz</t>
  </si>
  <si>
    <t xml:space="preserve">Chromium (Playwright): echter Dateiupload; jsdom</t>
  </si>
  <si>
    <t xml:space="preserve">PNG/SVG ok; Skripte, on*-Attribute, externe Refs, foreignObject, falsches PNG, &gt;500 KB abgelehnt</t>
  </si>
  <si>
    <t xml:space="preserve">Dateiinhalt (PNG-Header, SVG-Parser) geprüft; Sanitizer ist Sperrliste</t>
  </si>
  <si>
    <t xml:space="preserve">Event-Texte, WOD, Coach, Notizen, Zeilen hinzufügen/löschen/sortieren</t>
  </si>
  <si>
    <t xml:space="preserve">Theme, Schrift, Deckkraft, Sichtbarkeitsschalter</t>
  </si>
  <si>
    <t xml:space="preserve">Zonenposition/-breite, Schriftfarbe, Ausrichtung je Element</t>
  </si>
  <si>
    <t xml:space="preserve">Szenen: speichern/laden/umbenennen/duplizieren/löschen/zurücksetzen/Export/Import</t>
  </si>
  <si>
    <t xml:space="preserve">jsdom, fehlerhafte JSON-Fälle; Persistenz Chromium (Playwright)</t>
  </si>
  <si>
    <t xml:space="preserve">Pass; fehlerhafte Importe repariert/abgelehnt</t>
  </si>
  <si>
    <t xml:space="preserve">Nur lokaler Browserspeicher</t>
  </si>
  <si>
    <t xml:space="preserve">Browser-Source-URL kopieren / Test in neuem Tab</t>
  </si>
  <si>
    <t xml:space="preserve">Chromium (Playwright)</t>
  </si>
  <si>
    <t xml:space="preserve">URL ohne Steuerschlüssel in Zwischenablage; neuer Tab öffnet Overlay</t>
  </si>
  <si>
    <t xml:space="preserve">Chromium mit gewährter Clipboard-Berechtigung</t>
  </si>
  <si>
    <t xml:space="preserve">OBS Studio Browser Source</t>
  </si>
  <si>
    <t xml:space="preserve">BLOCKED — EXTERNAL TEST REQUIRED</t>
  </si>
  <si>
    <t xml:space="preserve">OBS nicht verfügbar</t>
  </si>
  <si>
    <t xml:space="preserve">Test nach OBS_ZOOM_SETUP.md</t>
  </si>
  <si>
    <t xml:space="preserve">Streamlabs Desktop Browser Source</t>
  </si>
  <si>
    <t xml:space="preserve">Nicht verfügbar</t>
  </si>
  <si>
    <t xml:space="preserve">Gleicher Test wie OBS</t>
  </si>
  <si>
    <t xml:space="preserve">Zoom über OBS Virtual Camera</t>
  </si>
  <si>
    <t xml:space="preserve">Zoom-Test</t>
  </si>
  <si>
    <t xml:space="preserve">Statisches Hosting / Server-Hosting</t>
  </si>
  <si>
    <t xml:space="preserve">Chromium (Playwright): Auslieferung über server.js</t>
  </si>
  <si>
    <t xml:space="preserve">index.html lädt und funktioniert über HTTP</t>
  </si>
  <si>
    <t xml:space="preserve">Nur lokal geprüft, nicht auf zweitem Server</t>
  </si>
  <si>
    <t xml:space="preserve">Deployment testen</t>
  </si>
  <si>
    <t xml:space="preserve">Dokumentation, Lizenzliste, Quellcode</t>
  </si>
  <si>
    <t xml:space="preserve">Mit diesem Paket geliefert</t>
  </si>
  <si>
    <t xml:space="preserve">Vom Kunden noch nicht geprüft</t>
  </si>
  <si>
    <t xml:space="preserve">Kundenprüfung</t>
  </si>
  <si>
    <t xml:space="preserve">Schriften selbst hosten (DSGVO/Offline)</t>
  </si>
  <si>
    <t xml:space="preserve">Schriften kommen von Google Fonts (Internet nötig)</t>
  </si>
  <si>
    <t xml:space="preserve">Schriftdateien herunterladen, @font-face einbinden</t>
  </si>
  <si>
    <t xml:space="preserve">Animationen, Sponsor-Logos, Teilnehmernamen, Chat</t>
  </si>
  <si>
    <t xml:space="preserve">Local file:// sync, same profile (text, WOD, timer settings, logo, show/hide, refresh)</t>
  </si>
  <si>
    <t xml:space="preserve">Real Chromium on file://</t>
  </si>
  <si>
    <t xml:space="preserve">All fields reach overlay</t>
  </si>
  <si>
    <t xml:space="preserve">Same profile only</t>
  </si>
  <si>
    <t xml:space="preserve">Storage-poll fallback sync</t>
  </si>
  <si>
    <t xml:space="preserve">Real Chromium, BroadcastChannel/storage events disabled</t>
  </si>
  <si>
    <t xml:space="preserve">Syncs within ~1 s</t>
  </si>
  <si>
    <t xml:space="preserve">OBS Custom Dock + Browser Source, local files (no server)</t>
  </si>
  <si>
    <t xml:space="preserve">Not run (no OBS)</t>
  </si>
  <si>
    <t xml:space="preserve">Unknown whether OBS shares storage</t>
  </si>
  <si>
    <t xml:space="preserve">Test in OBS</t>
  </si>
  <si>
    <t xml:space="preserve">State-file bridge, simulated picker, separate browser contexts</t>
  </si>
  <si>
    <t xml:space="preserve">Real Chromium, 9 checks, file:// pages in separate contexts</t>
  </si>
  <si>
    <t xml:space="preserve">All pass, ~1 s latency</t>
  </si>
  <si>
    <t xml:space="preserve">Native file picker stubbed; OBS not used</t>
  </si>
  <si>
    <t xml:space="preserve">Test real picker and OBS</t>
  </si>
  <si>
    <t xml:space="preserve">State-file bridge with real file picker and real OBS</t>
  </si>
  <si>
    <t xml:space="preserve">Not run</t>
  </si>
  <si>
    <t xml:space="preserve">Needs OBS</t>
  </si>
  <si>
    <t xml:space="preserve">OBS WebSocket bridge (Chrome dashboard to OBS), tested against a protocol test double</t>
  </si>
  <si>
    <t xml:space="preserve">Real Chromium + mock obs-websocket v5 server; OBS delivery simulated</t>
  </si>
  <si>
    <t xml:space="preserve">11 checks pass</t>
  </si>
  <si>
    <t xml:space="preserve">Not real OBS</t>
  </si>
  <si>
    <t xml:space="preserve">OBS WebSocket bridge in real OBS 28+</t>
  </si>
  <si>
    <t xml:space="preserve">Depends on obs-browser emit_event delivery</t>
  </si>
  <si>
    <t xml:space="preserve">Funktion</t>
  </si>
  <si>
    <t xml:space="preserve">Umfang</t>
  </si>
  <si>
    <t xml:space="preserve">Implementierungsstand</t>
  </si>
  <si>
    <t xml:space="preserve">Hinweis</t>
  </si>
  <si>
    <t xml:space="preserve">ENTHALTEN</t>
  </si>
  <si>
    <t xml:space="preserve">Kern</t>
  </si>
  <si>
    <t xml:space="preserve">SPÄTERE ERWEITERUNG</t>
  </si>
  <si>
    <t xml:space="preserve">Optional</t>
  </si>
  <si>
    <t xml:space="preserve">EINGESCHRÄNKT ENTHALTEN</t>
  </si>
  <si>
    <t xml:space="preserve">Basis</t>
  </si>
  <si>
    <t xml:space="preserve">Optionaler Node-Server nötig</t>
  </si>
  <si>
    <t xml:space="preserve">Umfang mit Kunde klären</t>
  </si>
  <si>
    <t xml:space="preserve">Mobil: Layout nutzbar, nicht pixelgenau</t>
  </si>
  <si>
    <t xml:space="preserve">Erweiterung</t>
  </si>
  <si>
    <t xml:space="preserve">Kern — Abnahme offen</t>
  </si>
  <si>
    <t xml:space="preserve">Ungeprüft</t>
  </si>
  <si>
    <t xml:space="preserve">Hängt von OBS ab</t>
  </si>
  <si>
    <t xml:space="preserve">Anleitung vorhanden</t>
  </si>
  <si>
    <t xml:space="preserve">Statusdatei-Brücke (Chrome-Dashboard zu OBS ohne Server): Teststand simuliert</t>
  </si>
  <si>
    <t xml:space="preserve">Echter Dateidialog/OBS ungeprüft</t>
  </si>
  <si>
    <t xml:space="preserve">Statusdatei-Brücke mit echtem Dateidialog und OBS</t>
  </si>
  <si>
    <t xml:space="preserve">Test beim Kunden</t>
  </si>
  <si>
    <t xml:space="preserve">Live-Verbindung zu OBS über OBS-WebSocket: Teststand Testattrappe</t>
  </si>
  <si>
    <t xml:space="preserve">Echter OBS-Test steht aus</t>
  </si>
  <si>
    <t xml:space="preserve">Live-Verbindung zu OBS über OBS-WebSocket in echtem OBS</t>
  </si>
  <si>
    <t xml:space="preserve">Item</t>
  </si>
  <si>
    <t xml:space="preserve">Count</t>
  </si>
  <si>
    <t xml:space="preserve">Total features</t>
  </si>
  <si>
    <t xml:space="preserve">Verdict</t>
  </si>
  <si>
    <t xml:space="preserve">CONDITIONALLY READY — EXTERNAL VERIFICATION REQUIRED</t>
  </si>
  <si>
    <t xml:space="preserve">Automated tests</t>
  </si>
  <si>
    <t xml:space="preserve">jsdom 39+35 pass; Chromium 102 pass. Not OBS/Zoom tests.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</si>
</sst>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30"/>
    <col collapsed="false" customWidth="true" hidden="false" outlineLevel="0" max="3" min="3" style="1" width="44"/>
    <col collapsed="false" customWidth="true" hidden="false" outlineLevel="0" max="4" min="4" style="1" width="46"/>
    <col collapsed="false" customWidth="true" hidden="false" outlineLevel="0" max="5" min="5" style="1" width="44"/>
    <col collapsed="false" customWidth="true" hidden="false" outlineLevel="0" max="6" min="6" style="1" width="3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23.25" hidden="false" customHeight="true" outlineLevel="0" collapsed="false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10</v>
      </c>
    </row>
    <row r="3" customFormat="false" ht="23.25" hidden="false" customHeight="true" outlineLevel="0" collapsed="false">
      <c r="A3" s="3" t="s">
        <v>11</v>
      </c>
      <c r="B3" s="3" t="s">
        <v>7</v>
      </c>
      <c r="C3" s="3" t="s">
        <v>12</v>
      </c>
      <c r="D3" s="3" t="s">
        <v>13</v>
      </c>
      <c r="E3" s="3" t="s">
        <v>14</v>
      </c>
      <c r="F3" s="3" t="s">
        <v>10</v>
      </c>
    </row>
    <row r="4" customFormat="false" ht="23.25" hidden="false" customHeight="true" outlineLevel="0" collapsed="false">
      <c r="A4" s="3" t="s">
        <v>15</v>
      </c>
      <c r="B4" s="3" t="s">
        <v>7</v>
      </c>
      <c r="C4" s="3" t="s">
        <v>16</v>
      </c>
      <c r="D4" s="3" t="s">
        <v>17</v>
      </c>
      <c r="E4" s="3" t="s">
        <v>18</v>
      </c>
      <c r="F4" s="3" t="s">
        <v>19</v>
      </c>
    </row>
    <row r="5" customFormat="false" ht="15" hidden="false" customHeight="true" outlineLevel="0" collapsed="false">
      <c r="A5" s="3" t="s">
        <v>20</v>
      </c>
      <c r="B5" s="3" t="s">
        <v>21</v>
      </c>
      <c r="C5" s="3" t="s">
        <v>10</v>
      </c>
      <c r="D5" s="3" t="s">
        <v>10</v>
      </c>
      <c r="E5" s="3" t="s">
        <v>22</v>
      </c>
      <c r="F5" s="3" t="s">
        <v>23</v>
      </c>
    </row>
    <row r="6" customFormat="false" ht="23.25" hidden="false" customHeight="true" outlineLevel="0" collapsed="false">
      <c r="A6" s="3" t="s">
        <v>24</v>
      </c>
      <c r="B6" s="3" t="s">
        <v>7</v>
      </c>
      <c r="C6" s="3" t="s">
        <v>25</v>
      </c>
      <c r="D6" s="3" t="s">
        <v>26</v>
      </c>
      <c r="E6" s="3" t="s">
        <v>27</v>
      </c>
      <c r="F6" s="3" t="s">
        <v>10</v>
      </c>
    </row>
    <row r="7" customFormat="false" ht="15" hidden="false" customHeight="true" outlineLevel="0" collapsed="false">
      <c r="A7" s="3" t="s">
        <v>28</v>
      </c>
      <c r="B7" s="3" t="s">
        <v>29</v>
      </c>
      <c r="C7" s="3" t="s">
        <v>30</v>
      </c>
      <c r="D7" s="3" t="s">
        <v>10</v>
      </c>
      <c r="E7" s="3" t="s">
        <v>31</v>
      </c>
      <c r="F7" s="3" t="s">
        <v>32</v>
      </c>
    </row>
    <row r="8" customFormat="false" ht="15" hidden="false" customHeight="true" outlineLevel="0" collapsed="false">
      <c r="A8" s="3" t="s">
        <v>33</v>
      </c>
      <c r="B8" s="3" t="s">
        <v>7</v>
      </c>
      <c r="C8" s="3" t="s">
        <v>34</v>
      </c>
      <c r="D8" s="3" t="s">
        <v>35</v>
      </c>
      <c r="E8" s="3" t="s">
        <v>10</v>
      </c>
      <c r="F8" s="3" t="s">
        <v>10</v>
      </c>
    </row>
    <row r="9" customFormat="false" ht="23.25" hidden="false" customHeight="true" outlineLevel="0" collapsed="false">
      <c r="A9" s="3" t="s">
        <v>36</v>
      </c>
      <c r="B9" s="3" t="s">
        <v>7</v>
      </c>
      <c r="C9" s="3" t="s">
        <v>37</v>
      </c>
      <c r="D9" s="3" t="s">
        <v>38</v>
      </c>
      <c r="E9" s="3" t="s">
        <v>39</v>
      </c>
      <c r="F9" s="3" t="s">
        <v>10</v>
      </c>
    </row>
    <row r="10" customFormat="false" ht="34.5" hidden="false" customHeight="true" outlineLevel="0" collapsed="false">
      <c r="A10" s="3" t="s">
        <v>40</v>
      </c>
      <c r="B10" s="3" t="s">
        <v>7</v>
      </c>
      <c r="C10" s="3" t="s">
        <v>41</v>
      </c>
      <c r="D10" s="3" t="s">
        <v>42</v>
      </c>
      <c r="E10" s="3" t="s">
        <v>43</v>
      </c>
      <c r="F10" s="3" t="s">
        <v>44</v>
      </c>
    </row>
    <row r="11" customFormat="false" ht="23.25" hidden="false" customHeight="true" outlineLevel="0" collapsed="false">
      <c r="A11" s="3" t="s">
        <v>45</v>
      </c>
      <c r="B11" s="3" t="s">
        <v>46</v>
      </c>
      <c r="C11" s="3" t="s">
        <v>47</v>
      </c>
      <c r="D11" s="3" t="s">
        <v>48</v>
      </c>
      <c r="E11" s="3" t="s">
        <v>49</v>
      </c>
      <c r="F11" s="3" t="s">
        <v>50</v>
      </c>
    </row>
    <row r="12" customFormat="false" ht="34.5" hidden="false" customHeight="true" outlineLevel="0" collapsed="false">
      <c r="A12" s="3" t="s">
        <v>51</v>
      </c>
      <c r="B12" s="3" t="s">
        <v>7</v>
      </c>
      <c r="C12" s="3" t="s">
        <v>52</v>
      </c>
      <c r="D12" s="3" t="s">
        <v>53</v>
      </c>
      <c r="E12" s="3" t="s">
        <v>54</v>
      </c>
      <c r="F12" s="3" t="s">
        <v>55</v>
      </c>
    </row>
    <row r="13" customFormat="false" ht="23.25" hidden="false" customHeight="true" outlineLevel="0" collapsed="false">
      <c r="A13" s="3" t="s">
        <v>56</v>
      </c>
      <c r="B13" s="3" t="s">
        <v>7</v>
      </c>
      <c r="C13" s="3" t="s">
        <v>57</v>
      </c>
      <c r="D13" s="3" t="s">
        <v>58</v>
      </c>
      <c r="E13" s="3" t="s">
        <v>10</v>
      </c>
      <c r="F13" s="3" t="s">
        <v>10</v>
      </c>
    </row>
    <row r="14" customFormat="false" ht="23.25" hidden="false" customHeight="true" outlineLevel="0" collapsed="false">
      <c r="A14" s="3" t="s">
        <v>59</v>
      </c>
      <c r="B14" s="3" t="s">
        <v>7</v>
      </c>
      <c r="C14" s="3" t="s">
        <v>60</v>
      </c>
      <c r="D14" s="3" t="s">
        <v>61</v>
      </c>
      <c r="E14" s="3" t="s">
        <v>62</v>
      </c>
      <c r="F14" s="3" t="s">
        <v>63</v>
      </c>
    </row>
    <row r="15" customFormat="false" ht="23.25" hidden="false" customHeight="true" outlineLevel="0" collapsed="false">
      <c r="A15" s="3" t="s">
        <v>64</v>
      </c>
      <c r="B15" s="3" t="s">
        <v>7</v>
      </c>
      <c r="C15" s="3" t="s">
        <v>65</v>
      </c>
      <c r="D15" s="3" t="s">
        <v>66</v>
      </c>
      <c r="E15" s="3" t="s">
        <v>67</v>
      </c>
      <c r="F15" s="3" t="s">
        <v>10</v>
      </c>
    </row>
    <row r="16" customFormat="false" ht="23.25" hidden="false" customHeight="true" outlineLevel="0" collapsed="false">
      <c r="A16" s="3" t="s">
        <v>68</v>
      </c>
      <c r="B16" s="3" t="s">
        <v>7</v>
      </c>
      <c r="C16" s="3" t="s">
        <v>34</v>
      </c>
      <c r="D16" s="3" t="s">
        <v>35</v>
      </c>
      <c r="E16" s="3" t="s">
        <v>10</v>
      </c>
      <c r="F16" s="3" t="s">
        <v>10</v>
      </c>
    </row>
    <row r="17" customFormat="false" ht="15" hidden="false" customHeight="true" outlineLevel="0" collapsed="false">
      <c r="A17" s="3" t="s">
        <v>69</v>
      </c>
      <c r="B17" s="3" t="s">
        <v>7</v>
      </c>
      <c r="C17" s="3" t="s">
        <v>34</v>
      </c>
      <c r="D17" s="3" t="s">
        <v>35</v>
      </c>
      <c r="E17" s="3" t="s">
        <v>10</v>
      </c>
      <c r="F17" s="3" t="s">
        <v>10</v>
      </c>
    </row>
    <row r="18" customFormat="false" ht="15" hidden="false" customHeight="true" outlineLevel="0" collapsed="false">
      <c r="A18" s="3" t="s">
        <v>70</v>
      </c>
      <c r="B18" s="3" t="s">
        <v>21</v>
      </c>
      <c r="C18" s="3" t="s">
        <v>10</v>
      </c>
      <c r="D18" s="3" t="s">
        <v>10</v>
      </c>
      <c r="E18" s="3" t="s">
        <v>22</v>
      </c>
      <c r="F18" s="3" t="s">
        <v>10</v>
      </c>
    </row>
    <row r="19" customFormat="false" ht="34.5" hidden="false" customHeight="true" outlineLevel="0" collapsed="false">
      <c r="A19" s="3" t="s">
        <v>71</v>
      </c>
      <c r="B19" s="3" t="s">
        <v>7</v>
      </c>
      <c r="C19" s="3" t="s">
        <v>72</v>
      </c>
      <c r="D19" s="3" t="s">
        <v>73</v>
      </c>
      <c r="E19" s="3" t="s">
        <v>74</v>
      </c>
      <c r="F19" s="3" t="s">
        <v>10</v>
      </c>
    </row>
    <row r="20" customFormat="false" ht="23.25" hidden="false" customHeight="true" outlineLevel="0" collapsed="false">
      <c r="A20" s="3" t="s">
        <v>75</v>
      </c>
      <c r="B20" s="3" t="s">
        <v>7</v>
      </c>
      <c r="C20" s="3" t="s">
        <v>76</v>
      </c>
      <c r="D20" s="3" t="s">
        <v>77</v>
      </c>
      <c r="E20" s="3" t="s">
        <v>78</v>
      </c>
      <c r="F20" s="3" t="s">
        <v>10</v>
      </c>
    </row>
    <row r="21" customFormat="false" ht="23.25" hidden="false" customHeight="true" outlineLevel="0" collapsed="false">
      <c r="A21" s="3" t="s">
        <v>79</v>
      </c>
      <c r="B21" s="3" t="s">
        <v>80</v>
      </c>
      <c r="C21" s="3" t="s">
        <v>10</v>
      </c>
      <c r="D21" s="3" t="s">
        <v>10</v>
      </c>
      <c r="E21" s="3" t="s">
        <v>81</v>
      </c>
      <c r="F21" s="3" t="s">
        <v>82</v>
      </c>
    </row>
    <row r="22" customFormat="false" ht="23.25" hidden="false" customHeight="true" outlineLevel="0" collapsed="false">
      <c r="A22" s="3" t="s">
        <v>83</v>
      </c>
      <c r="B22" s="3" t="s">
        <v>80</v>
      </c>
      <c r="C22" s="3" t="s">
        <v>10</v>
      </c>
      <c r="D22" s="3" t="s">
        <v>10</v>
      </c>
      <c r="E22" s="3" t="s">
        <v>84</v>
      </c>
      <c r="F22" s="3" t="s">
        <v>85</v>
      </c>
    </row>
    <row r="23" customFormat="false" ht="23.25" hidden="false" customHeight="true" outlineLevel="0" collapsed="false">
      <c r="A23" s="3" t="s">
        <v>86</v>
      </c>
      <c r="B23" s="3" t="s">
        <v>80</v>
      </c>
      <c r="C23" s="3" t="s">
        <v>10</v>
      </c>
      <c r="D23" s="3" t="s">
        <v>10</v>
      </c>
      <c r="E23" s="3" t="s">
        <v>84</v>
      </c>
      <c r="F23" s="3" t="s">
        <v>87</v>
      </c>
    </row>
    <row r="24" customFormat="false" ht="15" hidden="false" customHeight="true" outlineLevel="0" collapsed="false">
      <c r="A24" s="3" t="s">
        <v>88</v>
      </c>
      <c r="B24" s="3" t="s">
        <v>7</v>
      </c>
      <c r="C24" s="3" t="s">
        <v>89</v>
      </c>
      <c r="D24" s="3" t="s">
        <v>90</v>
      </c>
      <c r="E24" s="3" t="s">
        <v>91</v>
      </c>
      <c r="F24" s="3" t="s">
        <v>92</v>
      </c>
    </row>
    <row r="25" customFormat="false" ht="15" hidden="false" customHeight="true" outlineLevel="0" collapsed="false">
      <c r="A25" s="3" t="s">
        <v>93</v>
      </c>
      <c r="B25" s="3" t="s">
        <v>29</v>
      </c>
      <c r="C25" s="3" t="s">
        <v>94</v>
      </c>
      <c r="D25" s="3" t="s">
        <v>10</v>
      </c>
      <c r="E25" s="3" t="s">
        <v>95</v>
      </c>
      <c r="F25" s="3" t="s">
        <v>96</v>
      </c>
    </row>
    <row r="26" customFormat="false" ht="23.25" hidden="false" customHeight="true" outlineLevel="0" collapsed="false">
      <c r="A26" s="3" t="s">
        <v>97</v>
      </c>
      <c r="B26" s="3" t="s">
        <v>21</v>
      </c>
      <c r="C26" s="3" t="s">
        <v>10</v>
      </c>
      <c r="D26" s="3" t="s">
        <v>10</v>
      </c>
      <c r="E26" s="3" t="s">
        <v>98</v>
      </c>
      <c r="F26" s="3" t="s">
        <v>99</v>
      </c>
    </row>
    <row r="27" customFormat="false" ht="15" hidden="false" customHeight="true" outlineLevel="0" collapsed="false">
      <c r="A27" s="3" t="s">
        <v>100</v>
      </c>
      <c r="B27" s="3" t="s">
        <v>21</v>
      </c>
      <c r="C27" s="3" t="s">
        <v>10</v>
      </c>
      <c r="D27" s="3" t="s">
        <v>10</v>
      </c>
      <c r="E27" s="3" t="s">
        <v>10</v>
      </c>
      <c r="F27" s="3" t="s">
        <v>10</v>
      </c>
    </row>
    <row r="28" customFormat="false" ht="15" hidden="false" customHeight="true" outlineLevel="0" collapsed="false">
      <c r="A28" s="1" t="s">
        <v>101</v>
      </c>
      <c r="B28" s="1" t="s">
        <v>7</v>
      </c>
      <c r="C28" s="1" t="s">
        <v>102</v>
      </c>
      <c r="D28" s="1" t="s">
        <v>103</v>
      </c>
      <c r="E28" s="1" t="s">
        <v>104</v>
      </c>
      <c r="F28" s="1" t="s">
        <v>10</v>
      </c>
    </row>
    <row r="29" customFormat="false" ht="15" hidden="false" customHeight="true" outlineLevel="0" collapsed="false">
      <c r="A29" s="1" t="s">
        <v>105</v>
      </c>
      <c r="B29" s="1" t="s">
        <v>7</v>
      </c>
      <c r="C29" s="1" t="s">
        <v>106</v>
      </c>
      <c r="D29" s="1" t="s">
        <v>107</v>
      </c>
      <c r="E29" s="1" t="s">
        <v>104</v>
      </c>
      <c r="F29" s="1" t="s">
        <v>10</v>
      </c>
    </row>
    <row r="30" customFormat="false" ht="23.25" hidden="false" customHeight="true" outlineLevel="0" collapsed="false">
      <c r="A30" s="4" t="s">
        <v>108</v>
      </c>
      <c r="B30" s="4" t="s">
        <v>29</v>
      </c>
      <c r="C30" s="4" t="s">
        <v>109</v>
      </c>
      <c r="D30" s="4" t="s">
        <v>10</v>
      </c>
      <c r="E30" s="4" t="s">
        <v>110</v>
      </c>
      <c r="F30" s="4" t="s">
        <v>111</v>
      </c>
    </row>
    <row r="31" customFormat="false" ht="23.25" hidden="false" customHeight="true" outlineLevel="0" collapsed="false">
      <c r="A31" s="4" t="s">
        <v>112</v>
      </c>
      <c r="B31" s="4" t="s">
        <v>7</v>
      </c>
      <c r="C31" s="4" t="s">
        <v>113</v>
      </c>
      <c r="D31" s="4" t="s">
        <v>114</v>
      </c>
      <c r="E31" s="4" t="s">
        <v>115</v>
      </c>
      <c r="F31" s="4" t="s">
        <v>116</v>
      </c>
    </row>
    <row r="32" customFormat="false" ht="15" hidden="false" customHeight="true" outlineLevel="0" collapsed="false">
      <c r="A32" s="4" t="s">
        <v>117</v>
      </c>
      <c r="B32" s="4" t="s">
        <v>29</v>
      </c>
      <c r="C32" s="4" t="s">
        <v>118</v>
      </c>
      <c r="D32" s="4" t="s">
        <v>10</v>
      </c>
      <c r="E32" s="4" t="s">
        <v>119</v>
      </c>
      <c r="F32" s="4" t="s">
        <v>111</v>
      </c>
    </row>
    <row r="33" customFormat="false" ht="23.25" hidden="false" customHeight="true" outlineLevel="0" collapsed="false">
      <c r="A33" s="4" t="s">
        <v>120</v>
      </c>
      <c r="B33" s="4" t="s">
        <v>7</v>
      </c>
      <c r="C33" s="4" t="s">
        <v>121</v>
      </c>
      <c r="D33" s="4" t="s">
        <v>122</v>
      </c>
      <c r="E33" s="4" t="s">
        <v>123</v>
      </c>
      <c r="F33" s="4" t="s">
        <v>111</v>
      </c>
    </row>
    <row r="34" customFormat="false" ht="15" hidden="false" customHeight="true" outlineLevel="0" collapsed="false">
      <c r="A34" s="4" t="s">
        <v>124</v>
      </c>
      <c r="B34" s="4" t="s">
        <v>29</v>
      </c>
      <c r="C34" s="4" t="s">
        <v>118</v>
      </c>
      <c r="D34" s="4" t="s">
        <v>10</v>
      </c>
      <c r="E34" s="4" t="s">
        <v>125</v>
      </c>
      <c r="F34" s="4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26"/>
    <col collapsed="false" customWidth="true" hidden="false" outlineLevel="0" max="3" min="3" style="1" width="32"/>
    <col collapsed="false" customWidth="true" hidden="false" outlineLevel="0" max="4" min="4" style="1" width="30"/>
  </cols>
  <sheetData>
    <row r="1" customFormat="false" ht="15" hidden="false" customHeight="true" outlineLevel="0" collapsed="false">
      <c r="A1" s="2" t="s">
        <v>126</v>
      </c>
      <c r="B1" s="2" t="s">
        <v>127</v>
      </c>
      <c r="C1" s="2" t="s">
        <v>128</v>
      </c>
      <c r="D1" s="2" t="s">
        <v>129</v>
      </c>
    </row>
    <row r="2" customFormat="false" ht="15" hidden="false" customHeight="true" outlineLevel="0" collapsed="false">
      <c r="A2" s="3" t="s">
        <v>6</v>
      </c>
      <c r="B2" s="3" t="s">
        <v>130</v>
      </c>
      <c r="C2" s="3" t="s">
        <v>7</v>
      </c>
      <c r="D2" s="3" t="s">
        <v>131</v>
      </c>
    </row>
    <row r="3" customFormat="false" ht="15" hidden="false" customHeight="true" outlineLevel="0" collapsed="false">
      <c r="A3" s="3" t="s">
        <v>11</v>
      </c>
      <c r="B3" s="3" t="s">
        <v>130</v>
      </c>
      <c r="C3" s="3" t="s">
        <v>7</v>
      </c>
      <c r="D3" s="3" t="s">
        <v>131</v>
      </c>
    </row>
    <row r="4" customFormat="false" ht="15" hidden="false" customHeight="true" outlineLevel="0" collapsed="false">
      <c r="A4" s="3" t="s">
        <v>15</v>
      </c>
      <c r="B4" s="3" t="s">
        <v>130</v>
      </c>
      <c r="C4" s="3" t="s">
        <v>7</v>
      </c>
      <c r="D4" s="3" t="s">
        <v>131</v>
      </c>
    </row>
    <row r="5" customFormat="false" ht="15" hidden="false" customHeight="true" outlineLevel="0" collapsed="false">
      <c r="A5" s="3" t="s">
        <v>20</v>
      </c>
      <c r="B5" s="3" t="s">
        <v>132</v>
      </c>
      <c r="C5" s="3" t="s">
        <v>21</v>
      </c>
      <c r="D5" s="3" t="s">
        <v>133</v>
      </c>
    </row>
    <row r="6" customFormat="false" ht="23.25" hidden="false" customHeight="true" outlineLevel="0" collapsed="false">
      <c r="A6" s="3" t="s">
        <v>24</v>
      </c>
      <c r="B6" s="3" t="s">
        <v>134</v>
      </c>
      <c r="C6" s="3" t="s">
        <v>7</v>
      </c>
      <c r="D6" s="3" t="s">
        <v>135</v>
      </c>
    </row>
    <row r="7" customFormat="false" ht="23.25" hidden="false" customHeight="true" outlineLevel="0" collapsed="false">
      <c r="A7" s="3" t="s">
        <v>28</v>
      </c>
      <c r="B7" s="3" t="s">
        <v>134</v>
      </c>
      <c r="C7" s="3" t="s">
        <v>29</v>
      </c>
      <c r="D7" s="3" t="s">
        <v>133</v>
      </c>
    </row>
    <row r="8" customFormat="false" ht="15" hidden="false" customHeight="true" outlineLevel="0" collapsed="false">
      <c r="A8" s="3" t="s">
        <v>33</v>
      </c>
      <c r="B8" s="3" t="s">
        <v>130</v>
      </c>
      <c r="C8" s="3" t="s">
        <v>7</v>
      </c>
      <c r="D8" s="3" t="s">
        <v>131</v>
      </c>
    </row>
    <row r="9" customFormat="false" ht="15" hidden="false" customHeight="true" outlineLevel="0" collapsed="false">
      <c r="A9" s="3" t="s">
        <v>36</v>
      </c>
      <c r="B9" s="3" t="s">
        <v>130</v>
      </c>
      <c r="C9" s="3" t="s">
        <v>7</v>
      </c>
      <c r="D9" s="3" t="s">
        <v>131</v>
      </c>
    </row>
    <row r="10" customFormat="false" ht="23.25" hidden="false" customHeight="true" outlineLevel="0" collapsed="false">
      <c r="A10" s="3" t="s">
        <v>40</v>
      </c>
      <c r="B10" s="3" t="s">
        <v>134</v>
      </c>
      <c r="C10" s="3" t="s">
        <v>7</v>
      </c>
      <c r="D10" s="3" t="s">
        <v>136</v>
      </c>
    </row>
    <row r="11" customFormat="false" ht="15" hidden="false" customHeight="true" outlineLevel="0" collapsed="false">
      <c r="A11" s="3" t="s">
        <v>45</v>
      </c>
      <c r="B11" s="3" t="s">
        <v>132</v>
      </c>
      <c r="C11" s="3" t="s">
        <v>46</v>
      </c>
      <c r="D11" s="3" t="s">
        <v>137</v>
      </c>
    </row>
    <row r="12" customFormat="false" ht="15" hidden="false" customHeight="true" outlineLevel="0" collapsed="false">
      <c r="A12" s="3" t="s">
        <v>51</v>
      </c>
      <c r="B12" s="3" t="s">
        <v>130</v>
      </c>
      <c r="C12" s="3" t="s">
        <v>7</v>
      </c>
      <c r="D12" s="3" t="s">
        <v>131</v>
      </c>
    </row>
    <row r="13" customFormat="false" ht="15" hidden="false" customHeight="true" outlineLevel="0" collapsed="false">
      <c r="A13" s="3" t="s">
        <v>56</v>
      </c>
      <c r="B13" s="3" t="s">
        <v>130</v>
      </c>
      <c r="C13" s="3" t="s">
        <v>7</v>
      </c>
      <c r="D13" s="3" t="s">
        <v>131</v>
      </c>
    </row>
    <row r="14" customFormat="false" ht="23.25" hidden="false" customHeight="true" outlineLevel="0" collapsed="false">
      <c r="A14" s="3" t="s">
        <v>59</v>
      </c>
      <c r="B14" s="3" t="s">
        <v>134</v>
      </c>
      <c r="C14" s="3" t="s">
        <v>7</v>
      </c>
      <c r="D14" s="3" t="s">
        <v>138</v>
      </c>
    </row>
    <row r="15" customFormat="false" ht="15" hidden="false" customHeight="true" outlineLevel="0" collapsed="false">
      <c r="A15" s="3" t="s">
        <v>64</v>
      </c>
      <c r="B15" s="3" t="s">
        <v>130</v>
      </c>
      <c r="C15" s="3" t="s">
        <v>7</v>
      </c>
      <c r="D15" s="3" t="s">
        <v>131</v>
      </c>
    </row>
    <row r="16" customFormat="false" ht="23.25" hidden="false" customHeight="true" outlineLevel="0" collapsed="false">
      <c r="A16" s="3" t="s">
        <v>68</v>
      </c>
      <c r="B16" s="3" t="s">
        <v>130</v>
      </c>
      <c r="C16" s="3" t="s">
        <v>7</v>
      </c>
      <c r="D16" s="3" t="s">
        <v>131</v>
      </c>
    </row>
    <row r="17" customFormat="false" ht="15" hidden="false" customHeight="true" outlineLevel="0" collapsed="false">
      <c r="A17" s="3" t="s">
        <v>69</v>
      </c>
      <c r="B17" s="3" t="s">
        <v>130</v>
      </c>
      <c r="C17" s="3" t="s">
        <v>7</v>
      </c>
      <c r="D17" s="3" t="s">
        <v>131</v>
      </c>
    </row>
    <row r="18" customFormat="false" ht="15" hidden="false" customHeight="true" outlineLevel="0" collapsed="false">
      <c r="A18" s="3" t="s">
        <v>70</v>
      </c>
      <c r="B18" s="3" t="s">
        <v>132</v>
      </c>
      <c r="C18" s="3" t="s">
        <v>21</v>
      </c>
      <c r="D18" s="3" t="s">
        <v>139</v>
      </c>
    </row>
    <row r="19" customFormat="false" ht="34.5" hidden="false" customHeight="true" outlineLevel="0" collapsed="false">
      <c r="A19" s="3" t="s">
        <v>71</v>
      </c>
      <c r="B19" s="3" t="s">
        <v>130</v>
      </c>
      <c r="C19" s="3" t="s">
        <v>7</v>
      </c>
      <c r="D19" s="3" t="s">
        <v>131</v>
      </c>
    </row>
    <row r="20" customFormat="false" ht="15" hidden="false" customHeight="true" outlineLevel="0" collapsed="false">
      <c r="A20" s="3" t="s">
        <v>75</v>
      </c>
      <c r="B20" s="3" t="s">
        <v>130</v>
      </c>
      <c r="C20" s="3" t="s">
        <v>7</v>
      </c>
      <c r="D20" s="3" t="s">
        <v>131</v>
      </c>
    </row>
    <row r="21" customFormat="false" ht="23.25" hidden="false" customHeight="true" outlineLevel="0" collapsed="false">
      <c r="A21" s="3" t="s">
        <v>79</v>
      </c>
      <c r="B21" s="3" t="s">
        <v>130</v>
      </c>
      <c r="C21" s="3" t="s">
        <v>80</v>
      </c>
      <c r="D21" s="3" t="s">
        <v>140</v>
      </c>
    </row>
    <row r="22" customFormat="false" ht="23.25" hidden="false" customHeight="true" outlineLevel="0" collapsed="false">
      <c r="A22" s="3" t="s">
        <v>83</v>
      </c>
      <c r="B22" s="3" t="s">
        <v>134</v>
      </c>
      <c r="C22" s="3" t="s">
        <v>80</v>
      </c>
      <c r="D22" s="3" t="s">
        <v>141</v>
      </c>
    </row>
    <row r="23" customFormat="false" ht="23.25" hidden="false" customHeight="true" outlineLevel="0" collapsed="false">
      <c r="A23" s="3" t="s">
        <v>86</v>
      </c>
      <c r="B23" s="3" t="s">
        <v>134</v>
      </c>
      <c r="C23" s="3" t="s">
        <v>80</v>
      </c>
      <c r="D23" s="3" t="s">
        <v>142</v>
      </c>
    </row>
    <row r="24" customFormat="false" ht="15" hidden="false" customHeight="true" outlineLevel="0" collapsed="false">
      <c r="A24" s="3" t="s">
        <v>88</v>
      </c>
      <c r="B24" s="3" t="s">
        <v>130</v>
      </c>
      <c r="C24" s="3" t="s">
        <v>7</v>
      </c>
      <c r="D24" s="3" t="s">
        <v>131</v>
      </c>
    </row>
    <row r="25" customFormat="false" ht="15" hidden="false" customHeight="true" outlineLevel="0" collapsed="false">
      <c r="A25" s="3" t="s">
        <v>93</v>
      </c>
      <c r="B25" s="3" t="s">
        <v>130</v>
      </c>
      <c r="C25" s="3" t="s">
        <v>29</v>
      </c>
      <c r="D25" s="3" t="s">
        <v>131</v>
      </c>
    </row>
    <row r="26" customFormat="false" ht="23.25" hidden="false" customHeight="true" outlineLevel="0" collapsed="false">
      <c r="A26" s="3" t="s">
        <v>97</v>
      </c>
      <c r="B26" s="3" t="s">
        <v>134</v>
      </c>
      <c r="C26" s="3" t="s">
        <v>21</v>
      </c>
      <c r="D26" s="3" t="s">
        <v>143</v>
      </c>
    </row>
    <row r="27" customFormat="false" ht="15" hidden="false" customHeight="true" outlineLevel="0" collapsed="false">
      <c r="A27" s="3" t="s">
        <v>100</v>
      </c>
      <c r="B27" s="3" t="s">
        <v>132</v>
      </c>
      <c r="C27" s="3" t="s">
        <v>21</v>
      </c>
      <c r="D27" s="3" t="s">
        <v>139</v>
      </c>
    </row>
    <row r="28" customFormat="false" ht="15" hidden="false" customHeight="true" outlineLevel="0" collapsed="false">
      <c r="A28" s="1" t="s">
        <v>101</v>
      </c>
      <c r="B28" s="1" t="s">
        <v>130</v>
      </c>
      <c r="C28" s="1" t="s">
        <v>7</v>
      </c>
      <c r="D28" s="1" t="s">
        <v>131</v>
      </c>
    </row>
    <row r="29" customFormat="false" ht="15" hidden="false" customHeight="true" outlineLevel="0" collapsed="false">
      <c r="A29" s="1" t="s">
        <v>105</v>
      </c>
      <c r="B29" s="1" t="s">
        <v>130</v>
      </c>
      <c r="C29" s="1" t="s">
        <v>7</v>
      </c>
      <c r="D29" s="1" t="s">
        <v>131</v>
      </c>
    </row>
    <row r="30" customFormat="false" ht="23.25" hidden="false" customHeight="true" outlineLevel="0" collapsed="false">
      <c r="A30" s="4" t="s">
        <v>108</v>
      </c>
      <c r="B30" s="4" t="s">
        <v>134</v>
      </c>
      <c r="C30" s="4" t="s">
        <v>29</v>
      </c>
      <c r="D30" s="4" t="s">
        <v>141</v>
      </c>
    </row>
    <row r="31" customFormat="false" ht="23.25" hidden="false" customHeight="true" outlineLevel="0" collapsed="false">
      <c r="A31" s="4" t="s">
        <v>144</v>
      </c>
      <c r="B31" s="4" t="s">
        <v>134</v>
      </c>
      <c r="C31" s="4" t="s">
        <v>7</v>
      </c>
      <c r="D31" s="4" t="s">
        <v>145</v>
      </c>
    </row>
    <row r="32" customFormat="false" ht="23.25" hidden="false" customHeight="true" outlineLevel="0" collapsed="false">
      <c r="A32" s="4" t="s">
        <v>146</v>
      </c>
      <c r="B32" s="4" t="s">
        <v>134</v>
      </c>
      <c r="C32" s="4" t="s">
        <v>29</v>
      </c>
      <c r="D32" s="4" t="s">
        <v>147</v>
      </c>
    </row>
    <row r="33" customFormat="false" ht="23.25" hidden="false" customHeight="true" outlineLevel="0" collapsed="false">
      <c r="A33" s="4" t="s">
        <v>148</v>
      </c>
      <c r="B33" s="4" t="s">
        <v>134</v>
      </c>
      <c r="C33" s="4" t="s">
        <v>7</v>
      </c>
      <c r="D33" s="4" t="s">
        <v>149</v>
      </c>
    </row>
    <row r="34" customFormat="false" ht="23.25" hidden="false" customHeight="true" outlineLevel="0" collapsed="false">
      <c r="A34" s="4" t="s">
        <v>150</v>
      </c>
      <c r="B34" s="4" t="s">
        <v>134</v>
      </c>
      <c r="C34" s="4" t="s">
        <v>29</v>
      </c>
      <c r="D34" s="4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80"/>
  </cols>
  <sheetData>
    <row r="1" customFormat="false" ht="15" hidden="false" customHeight="true" outlineLevel="0" collapsed="false">
      <c r="A1" s="5" t="s">
        <v>151</v>
      </c>
      <c r="B1" s="5" t="s">
        <v>152</v>
      </c>
    </row>
    <row r="2" customFormat="false" ht="15" hidden="false" customHeight="true" outlineLevel="0" collapsed="false">
      <c r="A2" s="4" t="s">
        <v>7</v>
      </c>
      <c r="B2" s="4" t="n">
        <f aca="false">COUNTIF('Test Report'!$B$2:$B$34,A2)</f>
        <v>20</v>
      </c>
    </row>
    <row r="3" customFormat="false" ht="15" hidden="false" customHeight="true" outlineLevel="0" collapsed="false">
      <c r="A3" s="4" t="s">
        <v>29</v>
      </c>
      <c r="B3" s="4" t="n">
        <f aca="false">COUNTIF('Test Report'!$B$2:$B$34,A3)</f>
        <v>5</v>
      </c>
    </row>
    <row r="4" customFormat="false" ht="15" hidden="false" customHeight="true" outlineLevel="0" collapsed="false">
      <c r="A4" s="4" t="s">
        <v>46</v>
      </c>
      <c r="B4" s="4" t="n">
        <f aca="false">COUNTIF('Test Report'!$B$2:$B$34,A4)</f>
        <v>1</v>
      </c>
    </row>
    <row r="5" customFormat="false" ht="15" hidden="false" customHeight="true" outlineLevel="0" collapsed="false">
      <c r="A5" s="4" t="s">
        <v>21</v>
      </c>
      <c r="B5" s="4" t="n">
        <f aca="false">COUNTIF('Test Report'!$B$2:$B$34,A5)</f>
        <v>4</v>
      </c>
    </row>
    <row r="6" customFormat="false" ht="15" hidden="false" customHeight="true" outlineLevel="0" collapsed="false">
      <c r="A6" s="4" t="s">
        <v>80</v>
      </c>
      <c r="B6" s="4" t="n">
        <f aca="false">COUNTIF('Test Report'!$B$2:$B$34,A6)</f>
        <v>3</v>
      </c>
    </row>
    <row r="7" customFormat="false" ht="15" hidden="false" customHeight="true" outlineLevel="0" collapsed="false">
      <c r="A7" s="4" t="s">
        <v>130</v>
      </c>
      <c r="B7" s="4" t="n">
        <f aca="false">COUNTIF('Feature Scope DE'!$B$2:$B$34,A7)</f>
        <v>17</v>
      </c>
    </row>
    <row r="8" customFormat="false" ht="15" hidden="false" customHeight="true" outlineLevel="0" collapsed="false">
      <c r="A8" s="4" t="s">
        <v>134</v>
      </c>
      <c r="B8" s="4" t="n">
        <f aca="false">COUNTIF('Feature Scope DE'!$B$2:$B$34,A8)</f>
        <v>12</v>
      </c>
    </row>
    <row r="9" customFormat="false" ht="15" hidden="false" customHeight="true" outlineLevel="0" collapsed="false">
      <c r="A9" s="4" t="s">
        <v>132</v>
      </c>
      <c r="B9" s="4" t="n">
        <f aca="false">COUNTIF('Feature Scope DE'!$B$2:$B$34,A9)</f>
        <v>4</v>
      </c>
    </row>
    <row r="10" customFormat="false" ht="15" hidden="false" customHeight="true" outlineLevel="0" collapsed="false">
      <c r="A10" s="4" t="s">
        <v>153</v>
      </c>
      <c r="B10" s="4" t="n">
        <f aca="false">COUNTA('Test Report'!$A$2:$A$34)</f>
        <v>33</v>
      </c>
    </row>
    <row r="11" customFormat="false" ht="15" hidden="false" customHeight="true" outlineLevel="0" collapsed="false">
      <c r="A11" s="4"/>
      <c r="B11" s="4"/>
    </row>
    <row r="12" customFormat="false" ht="15" hidden="false" customHeight="true" outlineLevel="0" collapsed="false">
      <c r="A12" s="4" t="s">
        <v>154</v>
      </c>
      <c r="B12" s="4" t="s">
        <v>155</v>
      </c>
    </row>
    <row r="13" customFormat="false" ht="15" hidden="false" customHeight="true" outlineLevel="0" collapsed="false">
      <c r="A13" s="4" t="s">
        <v>156</v>
      </c>
      <c r="B13" s="4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2026-10-11T16:11:52Z</dcterms:created>
  <dc:creator>openpyxl</dc:creator>
  <dc:description/>
  <dc:language>en-US</dc:language>
  <cp:lastModifiedBy/>
  <dcterms:modified xsi:type="dcterms:W3CDTF">2026-10-11T20:22:14Z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